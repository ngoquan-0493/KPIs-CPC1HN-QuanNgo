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i chieu tu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<sst xmlns="http://schemas.openxmlformats.org/spreadsheetml/2006/main" count="98" uniqueCount="73">
  <si>
    <t xml:space="preserve">Đối chiếu tần suất viếng thăm với doanh thu phát sinh - Tuần 20/07/2026 - 26/07/2026 (tuần đang chạy, chưa đủ 7 ngày)</t>
  </si>
  <si>
    <t xml:space="preserve">Nguồn: Du lieu cham cong thang hien tai (số lần check-in) và Du lieu sale thang hien tai (doanh thu). Chỉ đối chiếu số liệu, không áp dụng ngưỡng cảnh báo.</t>
  </si>
  <si>
    <t xml:space="preserve">Mã NV</t>
  </si>
  <si>
    <t xml:space="preserve">Tên nhân viên</t>
  </si>
  <si>
    <t xml:space="preserve">SS phụ trách</t>
  </si>
  <si>
    <t xml:space="preserve">Số lần ghé thăm</t>
  </si>
  <si>
    <t xml:space="preserve">Số khách đã ghé</t>
  </si>
  <si>
    <t xml:space="preserve">Tổng doanh thu (đ)</t>
  </si>
  <si>
    <t xml:space="preserve">Số khách phát sinh đơn</t>
  </si>
  <si>
    <t xml:space="preserve">Doanh thu / lần ghé (đ)</t>
  </si>
  <si>
    <t xml:space="preserve">019343</t>
  </si>
  <si>
    <t xml:space="preserve">Trần Nhật Minh</t>
  </si>
  <si>
    <t xml:space="preserve">Nguyễn Thị Hằng</t>
  </si>
  <si>
    <t xml:space="preserve">018996</t>
  </si>
  <si>
    <t xml:space="preserve">Nguyễn Thị Ngọc Quỳnh</t>
  </si>
  <si>
    <t xml:space="preserve">019436</t>
  </si>
  <si>
    <t xml:space="preserve">Bùi Ngọc Hải</t>
  </si>
  <si>
    <t xml:space="preserve">019795</t>
  </si>
  <si>
    <t xml:space="preserve">Bùi Tiến Dũng</t>
  </si>
  <si>
    <t xml:space="preserve">019843</t>
  </si>
  <si>
    <t xml:space="preserve">Tạ Đức Hòa</t>
  </si>
  <si>
    <t xml:space="preserve">018670</t>
  </si>
  <si>
    <t xml:space="preserve">Nguyễn Văn Linh</t>
  </si>
  <si>
    <t xml:space="preserve">Nguyễn Thị Mơ</t>
  </si>
  <si>
    <t xml:space="preserve">020067</t>
  </si>
  <si>
    <t xml:space="preserve">Thân Thị Phương</t>
  </si>
  <si>
    <t xml:space="preserve">018074</t>
  </si>
  <si>
    <t xml:space="preserve">Đỗ Thái Dương</t>
  </si>
  <si>
    <t xml:space="preserve">017631</t>
  </si>
  <si>
    <t xml:space="preserve">Lê Thị Huyền Trang</t>
  </si>
  <si>
    <t xml:space="preserve">019482</t>
  </si>
  <si>
    <t xml:space="preserve">Nguyễn Thái Bình</t>
  </si>
  <si>
    <t xml:space="preserve">019997</t>
  </si>
  <si>
    <t xml:space="preserve">Trần Dương Khánh Ly</t>
  </si>
  <si>
    <t xml:space="preserve">019677</t>
  </si>
  <si>
    <t xml:space="preserve">Lã Thị Quỳnh Như</t>
  </si>
  <si>
    <t xml:space="preserve">015629</t>
  </si>
  <si>
    <t xml:space="preserve">Phan Thị Thắm</t>
  </si>
  <si>
    <t xml:space="preserve">Nguyễn Văn Mạnh</t>
  </si>
  <si>
    <t xml:space="preserve">019680</t>
  </si>
  <si>
    <t xml:space="preserve">Phí Đức Toàn</t>
  </si>
  <si>
    <t xml:space="preserve">015008</t>
  </si>
  <si>
    <t xml:space="preserve">Nguyễn Thị Oanh</t>
  </si>
  <si>
    <t xml:space="preserve">018834</t>
  </si>
  <si>
    <t xml:space="preserve">Nguyễn Thị Huyền Trang</t>
  </si>
  <si>
    <t xml:space="preserve">018814</t>
  </si>
  <si>
    <t xml:space="preserve">Lê Minh Đức</t>
  </si>
  <si>
    <t xml:space="preserve">020074</t>
  </si>
  <si>
    <t xml:space="preserve">Phạm Thị Huệ</t>
  </si>
  <si>
    <t xml:space="preserve">019794</t>
  </si>
  <si>
    <t xml:space="preserve">Phí Hoàng Anh</t>
  </si>
  <si>
    <t xml:space="preserve">020052</t>
  </si>
  <si>
    <t xml:space="preserve">Đặng Nguyễn Yến Nhi</t>
  </si>
  <si>
    <t xml:space="preserve">016781</t>
  </si>
  <si>
    <t xml:space="preserve">Nguyễn Thị Trang</t>
  </si>
  <si>
    <t xml:space="preserve">Phan Bình Phước</t>
  </si>
  <si>
    <t xml:space="preserve">019356</t>
  </si>
  <si>
    <t xml:space="preserve">Chu Thị Duyên</t>
  </si>
  <si>
    <t xml:space="preserve">018166</t>
  </si>
  <si>
    <t xml:space="preserve">Phạm Thị Thanh Huyền</t>
  </si>
  <si>
    <t xml:space="preserve">019413</t>
  </si>
  <si>
    <t xml:space="preserve">Trương Văn Dũng</t>
  </si>
  <si>
    <t xml:space="preserve">019844</t>
  </si>
  <si>
    <t xml:space="preserve">Tăng Thị Bình</t>
  </si>
  <si>
    <t xml:space="preserve">018432</t>
  </si>
  <si>
    <t xml:space="preserve">Đặng Đình Khánh</t>
  </si>
  <si>
    <t xml:space="preserve">019509</t>
  </si>
  <si>
    <t xml:space="preserve">Lê Thị Hồng Vân</t>
  </si>
  <si>
    <t xml:space="preserve">020050</t>
  </si>
  <si>
    <t xml:space="preserve">Nguyễn Thị Tú Anh</t>
  </si>
  <si>
    <t xml:space="preserve">019746</t>
  </si>
  <si>
    <t xml:space="preserve">Trương Thị Huyền Trang</t>
  </si>
  <si>
    <t xml:space="preserve">Tổng / trung bình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</si>
</sst>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7" min="6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n">
        <v>35</v>
      </c>
      <c r="E5" s="4" t="n">
        <v>13</v>
      </c>
      <c r="F5" s="5" t="n">
        <v>60884130</v>
      </c>
      <c r="G5" s="4" t="n">
        <v>10</v>
      </c>
      <c r="H5" s="5" t="n">
        <f aca="false">IF(D5=0,0,F5/D5)</f>
        <v>1739546.57142857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12</v>
      </c>
      <c r="D6" s="4" t="n">
        <v>46</v>
      </c>
      <c r="E6" s="4" t="n">
        <v>15</v>
      </c>
      <c r="F6" s="5" t="n">
        <v>17196410</v>
      </c>
      <c r="G6" s="4" t="n">
        <v>5</v>
      </c>
      <c r="H6" s="5" t="n">
        <f aca="false">IF(D6=0,0,F6/D6)</f>
        <v>373835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12</v>
      </c>
      <c r="D7" s="4" t="n">
        <v>47</v>
      </c>
      <c r="E7" s="4" t="n">
        <v>6</v>
      </c>
      <c r="F7" s="5" t="n">
        <v>9133660</v>
      </c>
      <c r="G7" s="4" t="n">
        <v>6</v>
      </c>
      <c r="H7" s="5" t="n">
        <f aca="false">IF(D7=0,0,F7/D7)</f>
        <v>194333.191489362</v>
      </c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12</v>
      </c>
      <c r="D8" s="4" t="n">
        <v>41</v>
      </c>
      <c r="E8" s="4" t="n">
        <v>12</v>
      </c>
      <c r="F8" s="5" t="n">
        <v>7010000</v>
      </c>
      <c r="G8" s="4" t="n">
        <v>3</v>
      </c>
      <c r="H8" s="5" t="n">
        <f aca="false">IF(D8=0,0,F8/D8)</f>
        <v>170975.609756098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12</v>
      </c>
      <c r="D9" s="4" t="n">
        <v>43</v>
      </c>
      <c r="E9" s="4" t="n">
        <v>10</v>
      </c>
      <c r="F9" s="5" t="n">
        <v>6277180</v>
      </c>
      <c r="G9" s="4" t="n">
        <v>3</v>
      </c>
      <c r="H9" s="5" t="n">
        <f aca="false">IF(D9=0,0,F9/D9)</f>
        <v>145980.930232558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4" t="s">
        <v>23</v>
      </c>
      <c r="D10" s="4" t="n">
        <v>51</v>
      </c>
      <c r="E10" s="4" t="n">
        <v>14</v>
      </c>
      <c r="F10" s="5" t="n">
        <v>131070000</v>
      </c>
      <c r="G10" s="4" t="n">
        <v>5</v>
      </c>
      <c r="H10" s="5" t="n">
        <f aca="false">IF(D10=0,0,F10/D10)</f>
        <v>2570000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s">
        <v>23</v>
      </c>
      <c r="D11" s="4" t="n">
        <v>29</v>
      </c>
      <c r="E11" s="4" t="n">
        <v>9</v>
      </c>
      <c r="F11" s="5" t="n">
        <v>88433650</v>
      </c>
      <c r="G11" s="4" t="n">
        <v>9</v>
      </c>
      <c r="H11" s="5" t="n">
        <f aca="false">IF(D11=0,0,F11/D11)</f>
        <v>3049436.20689655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23</v>
      </c>
      <c r="D12" s="4" t="n">
        <v>45</v>
      </c>
      <c r="E12" s="4" t="n">
        <v>20</v>
      </c>
      <c r="F12" s="5" t="n">
        <v>50775000</v>
      </c>
      <c r="G12" s="4" t="n">
        <v>3</v>
      </c>
      <c r="H12" s="5" t="n">
        <f aca="false">IF(D12=0,0,F12/D12)</f>
        <v>1128333.33333333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4" t="s">
        <v>23</v>
      </c>
      <c r="D13" s="4" t="n">
        <v>48</v>
      </c>
      <c r="E13" s="4" t="n">
        <v>23</v>
      </c>
      <c r="F13" s="5" t="n">
        <v>29973000</v>
      </c>
      <c r="G13" s="4" t="n">
        <v>3</v>
      </c>
      <c r="H13" s="5" t="n">
        <f aca="false">IF(D13=0,0,F13/D13)</f>
        <v>624437.5</v>
      </c>
    </row>
    <row r="14" customFormat="false" ht="15" hidden="false" customHeight="false" outlineLevel="0" collapsed="false">
      <c r="A14" s="4" t="s">
        <v>30</v>
      </c>
      <c r="B14" s="4" t="s">
        <v>31</v>
      </c>
      <c r="C14" s="4" t="s">
        <v>23</v>
      </c>
      <c r="D14" s="4" t="n">
        <v>41</v>
      </c>
      <c r="E14" s="4" t="n">
        <v>6</v>
      </c>
      <c r="F14" s="5" t="n">
        <v>16505000</v>
      </c>
      <c r="G14" s="4" t="n">
        <v>3</v>
      </c>
      <c r="H14" s="5" t="n">
        <f aca="false">IF(D14=0,0,F14/D14)</f>
        <v>402560.975609756</v>
      </c>
    </row>
    <row r="15" customFormat="false" ht="15" hidden="false" customHeight="false" outlineLevel="0" collapsed="false">
      <c r="A15" s="4" t="s">
        <v>32</v>
      </c>
      <c r="B15" s="4" t="s">
        <v>33</v>
      </c>
      <c r="C15" s="4" t="s">
        <v>23</v>
      </c>
      <c r="D15" s="4" t="n">
        <v>32</v>
      </c>
      <c r="E15" s="4" t="n">
        <v>26</v>
      </c>
      <c r="F15" s="5" t="n">
        <v>6174000</v>
      </c>
      <c r="G15" s="4" t="n">
        <v>3</v>
      </c>
      <c r="H15" s="5" t="n">
        <f aca="false">IF(D15=0,0,F15/D15)</f>
        <v>192937.5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4" t="s">
        <v>23</v>
      </c>
      <c r="D16" s="4" t="n">
        <v>44</v>
      </c>
      <c r="E16" s="4" t="n">
        <v>13</v>
      </c>
      <c r="F16" s="5" t="n">
        <v>5309460</v>
      </c>
      <c r="G16" s="4" t="n">
        <v>2</v>
      </c>
      <c r="H16" s="5" t="n">
        <f aca="false">IF(D16=0,0,F16/D16)</f>
        <v>120669.545454545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4" t="s">
        <v>38</v>
      </c>
      <c r="D17" s="4" t="n">
        <v>52</v>
      </c>
      <c r="E17" s="4" t="n">
        <v>7</v>
      </c>
      <c r="F17" s="5" t="n">
        <v>203297000</v>
      </c>
      <c r="G17" s="4" t="n">
        <v>8</v>
      </c>
      <c r="H17" s="5" t="n">
        <f aca="false">IF(D17=0,0,F17/D17)</f>
        <v>3909557.69230769</v>
      </c>
    </row>
    <row r="18" customFormat="false" ht="15" hidden="false" customHeight="false" outlineLevel="0" collapsed="false">
      <c r="A18" s="4" t="s">
        <v>39</v>
      </c>
      <c r="B18" s="4" t="s">
        <v>40</v>
      </c>
      <c r="C18" s="4" t="s">
        <v>38</v>
      </c>
      <c r="D18" s="4" t="n">
        <v>56</v>
      </c>
      <c r="E18" s="4" t="n">
        <v>10</v>
      </c>
      <c r="F18" s="5" t="n">
        <v>193590000</v>
      </c>
      <c r="G18" s="4" t="n">
        <v>9</v>
      </c>
      <c r="H18" s="5" t="n">
        <f aca="false">IF(D18=0,0,F18/D18)</f>
        <v>3456964.28571429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4" t="s">
        <v>38</v>
      </c>
      <c r="D19" s="4" t="n">
        <v>56</v>
      </c>
      <c r="E19" s="4" t="n">
        <v>23</v>
      </c>
      <c r="F19" s="5" t="n">
        <v>123931260</v>
      </c>
      <c r="G19" s="4" t="n">
        <v>11</v>
      </c>
      <c r="H19" s="5" t="n">
        <f aca="false">IF(D19=0,0,F19/D19)</f>
        <v>2213058.21428571</v>
      </c>
    </row>
    <row r="20" customFormat="false" ht="15" hidden="false" customHeight="false" outlineLevel="0" collapsed="false">
      <c r="A20" s="4" t="s">
        <v>43</v>
      </c>
      <c r="B20" s="4" t="s">
        <v>44</v>
      </c>
      <c r="C20" s="4" t="s">
        <v>38</v>
      </c>
      <c r="D20" s="4" t="n">
        <v>58</v>
      </c>
      <c r="E20" s="4" t="n">
        <v>19</v>
      </c>
      <c r="F20" s="5" t="n">
        <v>98840380</v>
      </c>
      <c r="G20" s="4" t="n">
        <v>7</v>
      </c>
      <c r="H20" s="5" t="n">
        <f aca="false">IF(D20=0,0,F20/D20)</f>
        <v>1704144.48275862</v>
      </c>
    </row>
    <row r="21" customFormat="false" ht="15" hidden="false" customHeight="false" outlineLevel="0" collapsed="false">
      <c r="A21" s="4" t="s">
        <v>45</v>
      </c>
      <c r="B21" s="4" t="s">
        <v>46</v>
      </c>
      <c r="C21" s="4" t="s">
        <v>38</v>
      </c>
      <c r="D21" s="4" t="n">
        <v>27</v>
      </c>
      <c r="E21" s="4" t="n">
        <v>3</v>
      </c>
      <c r="F21" s="5" t="n">
        <v>22649500</v>
      </c>
      <c r="G21" s="4" t="n">
        <v>3</v>
      </c>
      <c r="H21" s="5" t="n">
        <f aca="false">IF(D21=0,0,F21/D21)</f>
        <v>838870.37037037</v>
      </c>
    </row>
    <row r="22" customFormat="false" ht="15" hidden="false" customHeight="false" outlineLevel="0" collapsed="false">
      <c r="A22" s="4" t="s">
        <v>47</v>
      </c>
      <c r="B22" s="4" t="s">
        <v>48</v>
      </c>
      <c r="C22" s="4" t="s">
        <v>38</v>
      </c>
      <c r="D22" s="4" t="n">
        <v>63</v>
      </c>
      <c r="E22" s="4" t="n">
        <v>11</v>
      </c>
      <c r="F22" s="5" t="n">
        <v>8274000</v>
      </c>
      <c r="G22" s="4" t="n">
        <v>4</v>
      </c>
      <c r="H22" s="5" t="n">
        <f aca="false">IF(D22=0,0,F22/D22)</f>
        <v>131333.333333333</v>
      </c>
    </row>
    <row r="23" customFormat="false" ht="15" hidden="false" customHeight="false" outlineLevel="0" collapsed="false">
      <c r="A23" s="4" t="s">
        <v>49</v>
      </c>
      <c r="B23" s="4" t="s">
        <v>50</v>
      </c>
      <c r="C23" s="4" t="s">
        <v>38</v>
      </c>
      <c r="D23" s="4" t="n">
        <v>53</v>
      </c>
      <c r="E23" s="4" t="n">
        <v>12</v>
      </c>
      <c r="F23" s="5" t="n">
        <v>3654000</v>
      </c>
      <c r="G23" s="4" t="n">
        <v>1</v>
      </c>
      <c r="H23" s="5" t="n">
        <f aca="false">IF(D23=0,0,F23/D23)</f>
        <v>68943.3962264151</v>
      </c>
    </row>
    <row r="24" customFormat="false" ht="15" hidden="false" customHeight="false" outlineLevel="0" collapsed="false">
      <c r="A24" s="4" t="s">
        <v>51</v>
      </c>
      <c r="B24" s="4" t="s">
        <v>52</v>
      </c>
      <c r="C24" s="4" t="s">
        <v>38</v>
      </c>
      <c r="D24" s="4" t="n">
        <v>0</v>
      </c>
      <c r="E24" s="4" t="n">
        <v>0</v>
      </c>
      <c r="F24" s="5" t="n">
        <v>0</v>
      </c>
      <c r="G24" s="4" t="n">
        <v>0</v>
      </c>
      <c r="H24" s="5" t="n">
        <f aca="false">IF(D24=0,0,F24/D24)</f>
        <v>0</v>
      </c>
    </row>
    <row r="25" customFormat="false" ht="15" hidden="false" customHeight="false" outlineLevel="0" collapsed="false">
      <c r="A25" s="4" t="s">
        <v>53</v>
      </c>
      <c r="B25" s="4" t="s">
        <v>54</v>
      </c>
      <c r="C25" s="4" t="s">
        <v>55</v>
      </c>
      <c r="D25" s="4" t="n">
        <v>34</v>
      </c>
      <c r="E25" s="4" t="n">
        <v>9</v>
      </c>
      <c r="F25" s="5" t="n">
        <v>107587285</v>
      </c>
      <c r="G25" s="4" t="n">
        <v>11</v>
      </c>
      <c r="H25" s="5" t="n">
        <f aca="false">IF(D25=0,0,F25/D25)</f>
        <v>3164331.91176471</v>
      </c>
    </row>
    <row r="26" customFormat="false" ht="15" hidden="false" customHeight="false" outlineLevel="0" collapsed="false">
      <c r="A26" s="4" t="s">
        <v>56</v>
      </c>
      <c r="B26" s="4" t="s">
        <v>57</v>
      </c>
      <c r="C26" s="4" t="s">
        <v>55</v>
      </c>
      <c r="D26" s="4" t="n">
        <v>38</v>
      </c>
      <c r="E26" s="4" t="n">
        <v>27</v>
      </c>
      <c r="F26" s="5" t="n">
        <v>25352000</v>
      </c>
      <c r="G26" s="4" t="n">
        <v>7</v>
      </c>
      <c r="H26" s="5" t="n">
        <f aca="false">IF(D26=0,0,F26/D26)</f>
        <v>667157.894736842</v>
      </c>
    </row>
    <row r="27" customFormat="false" ht="15" hidden="false" customHeight="false" outlineLevel="0" collapsed="false">
      <c r="A27" s="4" t="s">
        <v>58</v>
      </c>
      <c r="B27" s="4" t="s">
        <v>59</v>
      </c>
      <c r="C27" s="4" t="s">
        <v>55</v>
      </c>
      <c r="D27" s="4" t="n">
        <v>44</v>
      </c>
      <c r="E27" s="4" t="n">
        <v>24</v>
      </c>
      <c r="F27" s="5" t="n">
        <v>9991720</v>
      </c>
      <c r="G27" s="4" t="n">
        <v>7</v>
      </c>
      <c r="H27" s="5" t="n">
        <f aca="false">IF(D27=0,0,F27/D27)</f>
        <v>227084.545454545</v>
      </c>
    </row>
    <row r="28" customFormat="false" ht="15" hidden="false" customHeight="false" outlineLevel="0" collapsed="false">
      <c r="A28" s="4" t="s">
        <v>60</v>
      </c>
      <c r="B28" s="4" t="s">
        <v>61</v>
      </c>
      <c r="C28" s="4" t="s">
        <v>55</v>
      </c>
      <c r="D28" s="4" t="n">
        <v>31</v>
      </c>
      <c r="E28" s="4" t="n">
        <v>7</v>
      </c>
      <c r="F28" s="5" t="n">
        <v>4845000</v>
      </c>
      <c r="G28" s="4" t="n">
        <v>3</v>
      </c>
      <c r="H28" s="5" t="n">
        <f aca="false">IF(D28=0,0,F28/D28)</f>
        <v>156290.322580645</v>
      </c>
    </row>
    <row r="29" customFormat="false" ht="15" hidden="false" customHeight="false" outlineLevel="0" collapsed="false">
      <c r="A29" s="4" t="s">
        <v>62</v>
      </c>
      <c r="B29" s="4" t="s">
        <v>63</v>
      </c>
      <c r="C29" s="4" t="s">
        <v>55</v>
      </c>
      <c r="D29" s="4" t="n">
        <v>42</v>
      </c>
      <c r="E29" s="4" t="n">
        <v>20</v>
      </c>
      <c r="F29" s="5" t="n">
        <v>2900000</v>
      </c>
      <c r="G29" s="4" t="n">
        <v>1</v>
      </c>
      <c r="H29" s="5" t="n">
        <f aca="false">IF(D29=0,0,F29/D29)</f>
        <v>69047.6190476191</v>
      </c>
    </row>
    <row r="30" customFormat="false" ht="15" hidden="false" customHeight="false" outlineLevel="0" collapsed="false">
      <c r="A30" s="4" t="s">
        <v>64</v>
      </c>
      <c r="B30" s="4" t="s">
        <v>65</v>
      </c>
      <c r="C30" s="4" t="s">
        <v>55</v>
      </c>
      <c r="D30" s="4" t="n">
        <v>37</v>
      </c>
      <c r="E30" s="4" t="n">
        <v>15</v>
      </c>
      <c r="F30" s="5" t="n">
        <v>2059730</v>
      </c>
      <c r="G30" s="4" t="n">
        <v>2</v>
      </c>
      <c r="H30" s="5" t="n">
        <f aca="false">IF(D30=0,0,F30/D30)</f>
        <v>55668.3783783784</v>
      </c>
    </row>
    <row r="31" customFormat="false" ht="15" hidden="false" customHeight="false" outlineLevel="0" collapsed="false">
      <c r="A31" s="4" t="s">
        <v>66</v>
      </c>
      <c r="B31" s="4" t="s">
        <v>67</v>
      </c>
      <c r="C31" s="4" t="s">
        <v>55</v>
      </c>
      <c r="D31" s="4" t="n">
        <v>6</v>
      </c>
      <c r="E31" s="4" t="n">
        <v>2</v>
      </c>
      <c r="F31" s="5" t="n">
        <v>2037000</v>
      </c>
      <c r="G31" s="4" t="n">
        <v>2</v>
      </c>
      <c r="H31" s="5" t="n">
        <f aca="false">IF(D31=0,0,F31/D31)</f>
        <v>339500</v>
      </c>
    </row>
    <row r="32" customFormat="false" ht="15" hidden="false" customHeight="false" outlineLevel="0" collapsed="false">
      <c r="A32" s="4" t="s">
        <v>68</v>
      </c>
      <c r="B32" s="4" t="s">
        <v>69</v>
      </c>
      <c r="C32" s="4" t="s">
        <v>55</v>
      </c>
      <c r="D32" s="4" t="n">
        <v>51</v>
      </c>
      <c r="E32" s="4" t="n">
        <v>10</v>
      </c>
      <c r="F32" s="5" t="n">
        <v>700000</v>
      </c>
      <c r="G32" s="4" t="n">
        <v>1</v>
      </c>
      <c r="H32" s="5" t="n">
        <f aca="false">IF(D32=0,0,F32/D32)</f>
        <v>13725.4901960784</v>
      </c>
    </row>
    <row r="33" customFormat="false" ht="15" hidden="false" customHeight="false" outlineLevel="0" collapsed="false">
      <c r="A33" s="4" t="s">
        <v>70</v>
      </c>
      <c r="B33" s="4" t="s">
        <v>71</v>
      </c>
      <c r="C33" s="4" t="s">
        <v>55</v>
      </c>
      <c r="D33" s="4" t="n">
        <v>41</v>
      </c>
      <c r="E33" s="4" t="n">
        <v>23</v>
      </c>
      <c r="F33" s="5" t="n">
        <v>0</v>
      </c>
      <c r="G33" s="4" t="n">
        <v>0</v>
      </c>
      <c r="H33" s="5" t="n">
        <f aca="false">IF(D33=0,0,F33/D33)</f>
        <v>0</v>
      </c>
    </row>
    <row r="34" customFormat="false" ht="15" hidden="false" customHeight="false" outlineLevel="0" collapsed="false">
      <c r="B34" s="6" t="s">
        <v>72</v>
      </c>
      <c r="D34" s="6" t="n">
        <f aca="false">SUM(D5:D33)</f>
        <v>1191</v>
      </c>
      <c r="F34" s="7" t="n">
        <f aca="false">SUM(F5:F33)</f>
        <v>1238450365</v>
      </c>
      <c r="H34" s="7" t="n">
        <f aca="false">IF(D34=0,0,F34/D34)</f>
        <v>1039840.77665827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2026-07-26T01:06:25Z</dcterms:created>
  <dc:creator>openpyxl</dc:creator>
  <dc:description/>
  <dc:language>en-US</dc:language>
  <cp:lastModifiedBy/>
  <dcterms:modified xsi:type="dcterms:W3CDTF">2026-07-26T01:06:25Z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